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cdb677d78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 and supply" sheetId="1" r:id="R6556edf12ab04afa"/>
    <x:sheet xmlns:r="http://schemas.openxmlformats.org/officeDocument/2006/relationships" name="Segments and tiers" sheetId="2" r:id="R14c3e458e0194860"/>
    <x:sheet xmlns:r="http://schemas.openxmlformats.org/officeDocument/2006/relationships" name="Elasticity practice" sheetId="3" r:id="R05be1599154c44bf"/>
    <x:sheet xmlns:r="http://schemas.openxmlformats.org/officeDocument/2006/relationships" name="Read me" sheetId="4" r:id="R5407c817216f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B5B"/>
      <x:name val="Carlito"/>
    </x:font>
    <x:font>
      <x:sz val="11"/>
      <x:color rgb="FF243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B"/>
      </x:patternFill>
    </x:fill>
    <x:fill>
      <x:patternFill patternType="solid">
        <x:fgColor rgb="FFE6F0F7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342b269124aaa" /><Relationship Type="http://schemas.openxmlformats.org/officeDocument/2006/relationships/theme" Target="/xl/theme/theme1.xml" Id="R57d9c0dbf5a44114" /><Relationship Type="http://schemas.openxmlformats.org/officeDocument/2006/relationships/sharedStrings" Target="/xl/sharedStrings.xml" Id="R7e0cc22c80d245c6" /><Relationship Type="http://schemas.openxmlformats.org/officeDocument/2006/relationships/worksheet" Target="/xl/worksheets/sheet1.xml" Id="R6556edf12ab04afa" /><Relationship Type="http://schemas.openxmlformats.org/officeDocument/2006/relationships/worksheet" Target="/xl/worksheets/sheet2.xml" Id="R14c3e458e0194860" /><Relationship Type="http://schemas.openxmlformats.org/officeDocument/2006/relationships/worksheet" Target="/xl/worksheets/sheet3.xml" Id="R05be1599154c44bf" /><Relationship Type="http://schemas.openxmlformats.org/officeDocument/2006/relationships/worksheet" Target="/xl/worksheets/sheet4.xml" Id="R5407c817216f43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</x:cols>
  <x:sheetData>
    <x:row r="1">
      <x:c r="A1" s="3" t="str">
        <x:v>ECON-241 / Week 1 / VidStack demand and supply schedule</x:v>
      </x:c>
      <x:c r="B1" s="3"/>
      <x:c r="C1" s="3"/>
      <x:c r="D1" s="3"/>
      <x:c r="E1" s="3"/>
      <x:c r="F1" s="3"/>
    </x:row>
    <x:row r="3">
      <x:c r="A3" s="8" t="str">
        <x:v>Monthly price</x:v>
      </x:c>
      <x:c r="B3" s="8" t="str">
        <x:v>Quantity demanded</x:v>
      </x:c>
      <x:c r="C3" s="8" t="str">
        <x:v>Quantity supplied</x:v>
      </x:c>
      <x:c r="D3" s="8" t="str">
        <x:v>Gap</x:v>
      </x:c>
      <x:c r="E3" s="8" t="str">
        <x:v>Market condition</x:v>
      </x:c>
      <x:c r="F3" s="8" t="str">
        <x:v>Instructor prompt</x:v>
      </x:c>
    </x:row>
    <x:row r="4">
      <x:c r="A4" s="9" t="n">
        <x:v>6</x:v>
      </x:c>
      <x:c r="B4" s="10" t="n">
        <x:v>120</x:v>
      </x:c>
      <x:c r="C4" s="10" t="n">
        <x:v>40</x:v>
      </x:c>
      <x:c r="D4" s="10" t="n">
        <x:f>B4-C4</x:f>
        <x:v>80</x:v>
      </x:c>
      <x:c r="E4" s="10" t="str">
        <x:f>IF(D4&gt;0,"Shortage",IF(D4&lt;0,"Surplus","Clearing"))</x:f>
        <x:v>Shortage</x:v>
      </x:c>
      <x:c r="F4" s="10" t="str">
        <x:v>What pressure does the gap place on price?</x:v>
      </x:c>
    </x:row>
    <x:row r="5">
      <x:c r="A5" s="9" t="n">
        <x:v>8</x:v>
      </x:c>
      <x:c r="B5" s="10" t="n">
        <x:v>105</x:v>
      </x:c>
      <x:c r="C5" s="10" t="n">
        <x:v>55</x:v>
      </x:c>
      <x:c r="D5" s="10" t="n">
        <x:f>B5-C5</x:f>
        <x:v>50</x:v>
      </x:c>
      <x:c r="E5" s="10" t="str">
        <x:f>IF(D5&gt;0,"Shortage",IF(D5&lt;0,"Surplus","Clearing"))</x:f>
        <x:v>Shortage</x:v>
      </x:c>
      <x:c r="F5" s="10" t="str">
        <x:v>Is this a movement or a shift?</x:v>
      </x:c>
    </x:row>
    <x:row r="6">
      <x:c r="A6" s="9" t="n">
        <x:v>10</x:v>
      </x:c>
      <x:c r="B6" s="10" t="n">
        <x:v>90</x:v>
      </x:c>
      <x:c r="C6" s="10" t="n">
        <x:v>70</x:v>
      </x:c>
      <x:c r="D6" s="10" t="n">
        <x:f>B6-C6</x:f>
        <x:v>20</x:v>
      </x:c>
      <x:c r="E6" s="10" t="str">
        <x:f>IF(D6&gt;0,"Shortage",IF(D6&lt;0,"Surplus","Clearing"))</x:f>
        <x:v>Shortage</x:v>
      </x:c>
      <x:c r="F6" s="10" t="str">
        <x:v>Which decision is changing?</x:v>
      </x:c>
    </x:row>
    <x:row r="7">
      <x:c r="A7" s="9" t="n">
        <x:v>12</x:v>
      </x:c>
      <x:c r="B7" s="10" t="n">
        <x:v>75</x:v>
      </x:c>
      <x:c r="C7" s="10" t="n">
        <x:v>85</x:v>
      </x:c>
      <x:c r="D7" s="10" t="n">
        <x:f>B7-C7</x:f>
        <x:v>-10</x:v>
      </x:c>
      <x:c r="E7" s="10" t="str">
        <x:f>IF(D7&gt;0,"Shortage",IF(D7&lt;0,"Surplus","Clearing"))</x:f>
        <x:v>Surplus</x:v>
      </x:c>
      <x:c r="F7" s="10" t="str">
        <x:v>Where is the market near clearing?</x:v>
      </x:c>
    </x:row>
    <x:row r="8">
      <x:c r="A8" s="9" t="n">
        <x:v>14</x:v>
      </x:c>
      <x:c r="B8" s="10" t="n">
        <x:v>60</x:v>
      </x:c>
      <x:c r="C8" s="10" t="n">
        <x:v>100</x:v>
      </x:c>
      <x:c r="D8" s="10" t="n">
        <x:f>B8-C8</x:f>
        <x:v>-40</x:v>
      </x:c>
      <x:c r="E8" s="10" t="str">
        <x:f>IF(D8&gt;0,"Shortage",IF(D8&lt;0,"Surplus","Clearing"))</x:f>
        <x:v>Surplus</x:v>
      </x:c>
      <x:c r="F8" s="10" t="str">
        <x:v>What would a surplus imply?</x:v>
      </x:c>
    </x:row>
    <x:row r="9">
      <x:c r="A9" s="9" t="n">
        <x:v>16</x:v>
      </x:c>
      <x:c r="B9" s="10" t="n">
        <x:v>45</x:v>
      </x:c>
      <x:c r="C9" s="10" t="n">
        <x:v>115</x:v>
      </x:c>
      <x:c r="D9" s="10" t="n">
        <x:f>B9-C9</x:f>
        <x:v>-70</x:v>
      </x:c>
      <x:c r="E9" s="10" t="str">
        <x:f>IF(D9&gt;0,"Shortage",IF(D9&lt;0,"Surplus","Clearing"))</x:f>
        <x:v>Surplus</x:v>
      </x:c>
      <x:c r="F9" s="10" t="str">
        <x:v>What evidence would explain a demand shift?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ECON-241 / Week 6 / VidStack segment and tier-design workbook</x:v>
      </x:c>
      <x:c r="B1" s="3"/>
      <x:c r="C1" s="3"/>
      <x:c r="D1" s="3"/>
      <x:c r="E1" s="3"/>
      <x:c r="F1" s="3"/>
      <x:c r="G1" s="3"/>
      <x:c r="H1" s="3"/>
    </x:row>
    <x:row r="3">
      <x:c r="A3" s="8" t="str">
        <x:v>Segment</x:v>
      </x:c>
      <x:c r="B3" s="8" t="str">
        <x:v>Monthly willingness to pay</x:v>
      </x:c>
      <x:c r="C3" s="8" t="str">
        <x:v>Ad tolerance</x:v>
      </x:c>
      <x:c r="D3" s="8" t="str">
        <x:v>Screens valued</x:v>
      </x:c>
      <x:c r="E3" s="8" t="str">
        <x:v>Offline value</x:v>
      </x:c>
      <x:c r="F3" s="8" t="str">
        <x:v>Current plan</x:v>
      </x:c>
      <x:c r="G3" s="8" t="str">
        <x:v>Likely tier</x:v>
      </x:c>
      <x:c r="H3" s="8" t="str">
        <x:v>Downgrade risk</x:v>
      </x:c>
    </x:row>
    <x:row r="4">
      <x:c r="A4" s="10" t="str">
        <x:v>Students</x:v>
      </x:c>
      <x:c r="B4" s="9" t="n">
        <x:v>8</x:v>
      </x:c>
      <x:c r="C4" s="10" t="str">
        <x:v>High</x:v>
      </x:c>
      <x:c r="D4" s="10" t="n">
        <x:v>1</x:v>
      </x:c>
      <x:c r="E4" s="10" t="str">
        <x:v>Low</x:v>
      </x:c>
      <x:c r="F4" s="10" t="str">
        <x:v>Standard</x:v>
      </x:c>
      <x:c r="G4" s="10" t="str">
        <x:v>Basic</x:v>
      </x:c>
      <x:c r="H4" s="10" t="str">
        <x:v>Low</x:v>
      </x:c>
    </x:row>
    <x:row r="5">
      <x:c r="A5" s="10" t="str">
        <x:v>Single households</x:v>
      </x:c>
      <x:c r="B5" s="9" t="n">
        <x:v>13</x:v>
      </x:c>
      <x:c r="C5" s="10" t="str">
        <x:v>Medium</x:v>
      </x:c>
      <x:c r="D5" s="10" t="n">
        <x:v>1</x:v>
      </x:c>
      <x:c r="E5" s="10" t="str">
        <x:v>Medium</x:v>
      </x:c>
      <x:c r="F5" s="10" t="str">
        <x:v>Standard</x:v>
      </x:c>
      <x:c r="G5" s="10" t="str">
        <x:v>Standard</x:v>
      </x:c>
      <x:c r="H5" s="10" t="str">
        <x:v>Medium</x:v>
      </x:c>
    </x:row>
    <x:row r="6">
      <x:c r="A6" s="10" t="str">
        <x:v>Families</x:v>
      </x:c>
      <x:c r="B6" s="9" t="n">
        <x:v>17</x:v>
      </x:c>
      <x:c r="C6" s="10" t="str">
        <x:v>Low</x:v>
      </x:c>
      <x:c r="D6" s="10" t="n">
        <x:v>3</x:v>
      </x:c>
      <x:c r="E6" s="10" t="str">
        <x:v>Medium</x:v>
      </x:c>
      <x:c r="F6" s="10" t="str">
        <x:v>Premium</x:v>
      </x:c>
      <x:c r="G6" s="10" t="str">
        <x:v>Standard</x:v>
      </x:c>
      <x:c r="H6" s="10" t="str">
        <x:v>High</x:v>
      </x:c>
    </x:row>
    <x:row r="7">
      <x:c r="A7" s="10" t="str">
        <x:v>Heavy viewers</x:v>
      </x:c>
      <x:c r="B7" s="9" t="n">
        <x:v>22</x:v>
      </x:c>
      <x:c r="C7" s="10" t="str">
        <x:v>Low</x:v>
      </x:c>
      <x:c r="D7" s="10" t="n">
        <x:v>4</x:v>
      </x:c>
      <x:c r="E7" s="10" t="str">
        <x:v>High</x:v>
      </x:c>
      <x:c r="F7" s="10" t="str">
        <x:v>Premium</x:v>
      </x:c>
      <x:c r="G7" s="10" t="str">
        <x:v>Premium</x:v>
      </x:c>
      <x:c r="H7" s="10" t="str">
        <x:v>Medium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" t="str">
        <x:v>ECON-241 / Week 4 / Midpoint elasticity and revenue practice</x:v>
      </x:c>
      <x:c r="B1" s="3"/>
      <x:c r="C1" s="3"/>
      <x:c r="D1" s="3"/>
      <x:c r="E1" s="3"/>
      <x:c r="F1" s="3"/>
    </x:row>
    <x:row r="3">
      <x:c r="A3" s="8" t="str">
        <x:v>Price 1</x:v>
      </x:c>
      <x:c r="B3" s="8" t="str">
        <x:v>Quantity 1</x:v>
      </x:c>
      <x:c r="C3" s="8" t="str">
        <x:v>Price 2</x:v>
      </x:c>
      <x:c r="D3" s="8" t="str">
        <x:v>Quantity 2</x:v>
      </x:c>
      <x:c r="E3" s="8" t="str">
        <x:v>Midpoint elasticity</x:v>
      </x:c>
      <x:c r="F3" s="8" t="str">
        <x:v>Revenue direction</x:v>
      </x:c>
    </x:row>
    <x:row r="4">
      <x:c r="A4" s="9" t="n">
        <x:v>12.99</x:v>
      </x:c>
      <x:c r="B4" s="9" t="n">
        <x:v>100</x:v>
      </x:c>
      <x:c r="C4" s="9" t="n">
        <x:v>15</x:v>
      </x:c>
      <x:c r="D4" s="9" t="n">
        <x:v>82</x:v>
      </x:c>
      <x:c r="E4" s="11" t="n">
        <x:f>ABS(((D4-B4)/((D4+B4)/2))/((C4-A4)/((C4+A4)/2)))</x:f>
        <x:v>1.3772347055929148</x:v>
      </x:c>
      <x:c r="F4" s="10" t="str">
        <x:f>IF(E4&gt;1,"Price increase lowers revenue",IF(E4&lt;1,"Price increase raises revenue","Unit elastic"))</x:f>
        <x:v>Price increase lowers revenue</x:v>
      </x:c>
    </x:row>
    <x:row r="5">
      <x:c r="A5" s="9" t="n">
        <x:v>10</x:v>
      </x:c>
      <x:c r="B5" s="9" t="n">
        <x:v>115</x:v>
      </x:c>
      <x:c r="C5" s="9" t="n">
        <x:v>12</x:v>
      </x:c>
      <x:c r="D5" s="9" t="n">
        <x:v>100</x:v>
      </x:c>
      <x:c r="E5" s="11" t="n">
        <x:f>ABS(((D5-B5)/((D5+B5)/2))/((C5-A5)/((C5+A5)/2)))</x:f>
        <x:v>0.7674418604651162</x:v>
      </x:c>
      <x:c r="F5" s="10" t="str">
        <x:f>IF(E5&gt;1,"Price increase lowers revenue",IF(E5&lt;1,"Price increase raises revenue","Unit elastic"))</x:f>
        <x:v>Price increase raises revenue</x:v>
      </x:c>
    </x:row>
    <x:row r="6">
      <x:c r="A6" s="9" t="n">
        <x:v>15</x:v>
      </x:c>
      <x:c r="B6" s="9" t="n">
        <x:v>82</x:v>
      </x:c>
      <x:c r="C6" s="9" t="n">
        <x:v>17</x:v>
      </x:c>
      <x:c r="D6" s="9" t="n">
        <x:v>78</x:v>
      </x:c>
      <x:c r="E6" s="11" t="n">
        <x:f>ABS(((D6-B6)/((D6+B6)/2))/((C6-A6)/((C6+A6)/2)))</x:f>
        <x:v>0.4</x:v>
      </x:c>
      <x:c r="F6" s="10" t="str">
        <x:f>IF(E6&gt;1,"Price increase lowers revenue",IF(E6&lt;1,"Price increase raises revenue","Unit elastic"))</x:f>
        <x:v>Price increase raises revenue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" hidden="0" customWidth="1"/>
  </x:cols>
  <x:sheetData>
    <x:row r="1">
      <x:c r="A1" s="3" t="str">
        <x:v>ECON-241 evidence workbook guide</x:v>
      </x:c>
      <x:c r="B1" s="3"/>
      <x:c r="C1" s="3"/>
      <x:c r="D1" s="3"/>
      <x:c r="E1" s="3"/>
      <x:c r="F1" s="3"/>
    </x:row>
    <x:row r="3" ht="32" customHeight="1">
      <x:c r="A3" s="13" t="str">
        <x:v>Use this workbook as evidence, not as a list of answers.</x:v>
      </x:c>
    </x:row>
    <x:row r="4" ht="32" customHeight="1">
      <x:c r="A4" s="13" t="str">
        <x:v>Start with the decision and the relevant constraint.</x:v>
      </x:c>
    </x:row>
    <x:row r="5" ht="32" customHeight="1">
      <x:c r="A5" s="13" t="str">
        <x:v>Show the comparison before interpreting the number.</x:v>
      </x:c>
    </x:row>
    <x:row r="6" ht="32" customHeight="1">
      <x:c r="A6" s="13" t="str">
        <x:v>Do not use graph shape as a substitute for a percentage calculation.</x:v>
      </x:c>
    </x:row>
    <x:row r="7" ht="32" customHeight="1">
      <x:c r="A7" s="13" t="str">
        <x:v>State what the small dataset cannot establish.</x:v>
      </x:c>
    </x:row>
    <x:row r="8" ht="32" customHeight="1">
      <x:c r="A8" s="13" t="str">
        <x:v>The pricing session may cite these sheets, but the recommendation must remain the student's own.</x:v>
      </x:c>
    </x:row>
  </x:sheetData>
  <x:mergeCells>
    <x:mergeCell ref="A1:F1"/>
  </x:mergeCells>
  <x:pageMargins left="0.7" right="0.7" top="0.75" bottom="0.75" header="0.3" footer="0.3"/>
</x:worksheet>
</file>